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GS_Computer\Downloads\"/>
    </mc:Choice>
  </mc:AlternateContent>
  <xr:revisionPtr revIDLastSave="0" documentId="8_{4EBFE9A1-50D7-409B-8969-A4CE5A112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glish Listings" sheetId="1" r:id="rId1"/>
    <sheet name="Non-English List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1" i="1" l="1"/>
  <c r="B60" i="2"/>
  <c r="B50" i="1"/>
</calcChain>
</file>

<file path=xl/sharedStrings.xml><?xml version="1.0" encoding="utf-8"?>
<sst xmlns="http://schemas.openxmlformats.org/spreadsheetml/2006/main" count="211" uniqueCount="206">
  <si>
    <t>Companies in English-Language Markets</t>
  </si>
  <si>
    <t xml:space="preserve">  </t>
  </si>
  <si>
    <t>Country / Region</t>
  </si>
  <si>
    <t>Expected Companies</t>
  </si>
  <si>
    <t>Stock Exchanges / Indices</t>
  </si>
  <si>
    <t>Australia</t>
  </si>
  <si>
    <t>Cboe Australia; All Ordinaries, ASX; Australian Stock Exchange</t>
  </si>
  <si>
    <t>Bahamas</t>
  </si>
  <si>
    <t>Bahamas International Securities Exchange (BISX)</t>
  </si>
  <si>
    <t>Bahrain</t>
  </si>
  <si>
    <t>Bahrain Bourse</t>
  </si>
  <si>
    <t>Bangladesh</t>
  </si>
  <si>
    <t>Dhaka Stock Exchange; Chittagong Stock Exchange</t>
  </si>
  <si>
    <t>Barbados</t>
  </si>
  <si>
    <t>Barbados Stock Exchange (BSE)</t>
  </si>
  <si>
    <t>Bhutan</t>
  </si>
  <si>
    <t>Royal Securities Exchange of Bhutan</t>
  </si>
  <si>
    <t>Botswana</t>
  </si>
  <si>
    <t>Botswana Stock Exchange (BSE)</t>
  </si>
  <si>
    <t>Canada</t>
  </si>
  <si>
    <t>Toronto Stock Exchange (TSX); TSX - Top 500 companies by Market Capitalisation</t>
  </si>
  <si>
    <t>Eastern Caribbean</t>
  </si>
  <si>
    <t>Eastern Caribbean Securities Exchange (ECSE)</t>
  </si>
  <si>
    <t>Eswatini</t>
  </si>
  <si>
    <t>Eswatini Stock Exchange</t>
  </si>
  <si>
    <t>Fiji</t>
  </si>
  <si>
    <t>South Pacific Stock Exchange (SPX)</t>
  </si>
  <si>
    <t>Ghana</t>
  </si>
  <si>
    <t>Ghana Stock Exchange (GSE)</t>
  </si>
  <si>
    <t>Guyana</t>
  </si>
  <si>
    <t>Guyana Stock Exchange</t>
  </si>
  <si>
    <t>Hong Kong</t>
  </si>
  <si>
    <t>HKEX - Largest 500 Eligible Issuers</t>
  </si>
  <si>
    <t>India</t>
  </si>
  <si>
    <t>NIFTY - largest 500 eligible issuers</t>
  </si>
  <si>
    <t>Ireland</t>
  </si>
  <si>
    <t>Euronext Dublin</t>
  </si>
  <si>
    <t>Jamaica</t>
  </si>
  <si>
    <t>Jamaica Stock Exchange (JSE)</t>
  </si>
  <si>
    <t>Kenya</t>
  </si>
  <si>
    <t>Nairobi Securities Exchange (NSE)</t>
  </si>
  <si>
    <t>Kuwait</t>
  </si>
  <si>
    <t>Boursa Kuwait</t>
  </si>
  <si>
    <t>Malawi</t>
  </si>
  <si>
    <t>Malawi Stock Exchange</t>
  </si>
  <si>
    <t>Malaysia</t>
  </si>
  <si>
    <t>Bursa Largest 500 Eligible Issuers by Market Capitalisation</t>
  </si>
  <si>
    <t>Malta</t>
  </si>
  <si>
    <t>Malta Stock Exchange</t>
  </si>
  <si>
    <t>Mauritius</t>
  </si>
  <si>
    <t>Stock Exchange of Mauritius (SEM)</t>
  </si>
  <si>
    <t>Namibia</t>
  </si>
  <si>
    <t>Namibian Stock Exchange (NSX)</t>
  </si>
  <si>
    <t>New Zealand</t>
  </si>
  <si>
    <t>NZX Limited (NZX)</t>
  </si>
  <si>
    <t>Nigeria</t>
  </si>
  <si>
    <t>Nigerian Exchange (NGX)</t>
  </si>
  <si>
    <t>Oman</t>
  </si>
  <si>
    <t>Muscat Stock Exchange</t>
  </si>
  <si>
    <t>Pakistan</t>
  </si>
  <si>
    <t>PSX - Pakistan Stock Exchange</t>
  </si>
  <si>
    <t>Papua New Guinea</t>
  </si>
  <si>
    <t>PNGX - PNG National Stock Exchange</t>
  </si>
  <si>
    <t>Philippines</t>
  </si>
  <si>
    <t>Philippine Stock Exchange (PSE)</t>
  </si>
  <si>
    <t>Qatar</t>
  </si>
  <si>
    <t>Qatar Stock Exchange</t>
  </si>
  <si>
    <t>Rwanda</t>
  </si>
  <si>
    <t>Rwanda Stock Exchange (RSE)</t>
  </si>
  <si>
    <t>Seychelles</t>
  </si>
  <si>
    <t>MERJ Exchange</t>
  </si>
  <si>
    <t>Singapore</t>
  </si>
  <si>
    <t>SGX</t>
  </si>
  <si>
    <t>South Africa</t>
  </si>
  <si>
    <t>FTSE/JSE Africa Top 40 Index; Johannesburg Stock Exchange (JSE)</t>
  </si>
  <si>
    <t>Sri Lanka</t>
  </si>
  <si>
    <t>Colombo Stock Exchange (CSE)</t>
  </si>
  <si>
    <t>Tanzania</t>
  </si>
  <si>
    <t>Dar es Salaam Stock Exchange (DSE)</t>
  </si>
  <si>
    <t>Trinidad &amp; Tobago</t>
  </si>
  <si>
    <t>Trinidad &amp; Tobago Stock Exchange (TTSE)</t>
  </si>
  <si>
    <t>UAE</t>
  </si>
  <si>
    <t>DAX + DFM</t>
  </si>
  <si>
    <t>UK</t>
  </si>
  <si>
    <t>FTSE All-Share; FTSE AIM - All Share; LSE (London Stock Exchange)</t>
  </si>
  <si>
    <t>US</t>
  </si>
  <si>
    <t>STOXX Europe; STOXX North America; STOXX Asia/Pacific; S&amp;P 500; New York Stock Exchange - NYSE; Nasdaq Stock Market - NASDAQ; S&amp;P Mid Cap; S&amp;P Small Cap</t>
  </si>
  <si>
    <t>Uganda</t>
  </si>
  <si>
    <t>Uganda Securities Exchange (USE)</t>
  </si>
  <si>
    <t>Zambia</t>
  </si>
  <si>
    <t>Lusaka Securities Exchange (LuSE)</t>
  </si>
  <si>
    <t>Zimbabwe</t>
  </si>
  <si>
    <t>Zimbabwe Stock Exchange / VFEX</t>
  </si>
  <si>
    <t>TOTAL</t>
  </si>
  <si>
    <t>29331*8</t>
  </si>
  <si>
    <t xml:space="preserve">possible reports </t>
  </si>
  <si>
    <t>Companies in Non-English-Language Markets</t>
  </si>
  <si>
    <t>Assumption: all other countries/regions from the PDF are classified here.</t>
  </si>
  <si>
    <t>Argentina</t>
  </si>
  <si>
    <t>S&amp;P MERVAL Index, Buenos Aires Stock Exchange; BYMA</t>
  </si>
  <si>
    <t>Austria</t>
  </si>
  <si>
    <t>Vienna Stock Exchange</t>
  </si>
  <si>
    <t>BRVM countries</t>
  </si>
  <si>
    <t>BRVM</t>
  </si>
  <si>
    <t>Belgium</t>
  </si>
  <si>
    <t>Euronext Brussels</t>
  </si>
  <si>
    <t>Brazil</t>
  </si>
  <si>
    <t>IBOVESPA Index, B3 - Brasil Bolsa Balcão</t>
  </si>
  <si>
    <t>Cambodia</t>
  </si>
  <si>
    <t>Cambodia Securities Exchange (CSX)</t>
  </si>
  <si>
    <t>Chile</t>
  </si>
  <si>
    <t>Santiago Exchange / nuam</t>
  </si>
  <si>
    <t>China</t>
  </si>
  <si>
    <t>CSI 300 Index; Shenzhen Stock Exchange (SZSE); Shanghai Stock Exchange (SSE)</t>
  </si>
  <si>
    <t>Colombia</t>
  </si>
  <si>
    <t>Colombia Exchange / nuam</t>
  </si>
  <si>
    <t>Costa Rica</t>
  </si>
  <si>
    <t>Bolsa Nacional de Valores</t>
  </si>
  <si>
    <t>Czechia</t>
  </si>
  <si>
    <t>Prague Stock Exchange</t>
  </si>
  <si>
    <t>Denmark</t>
  </si>
  <si>
    <t>Nasdaq Copenhagen</t>
  </si>
  <si>
    <t>Egypt</t>
  </si>
  <si>
    <t>Egyptian Exchange (EGX)</t>
  </si>
  <si>
    <t>Estonia</t>
  </si>
  <si>
    <t>Nasdaq Tallinn</t>
  </si>
  <si>
    <t>Ethiopia</t>
  </si>
  <si>
    <t>Ethiopian Securities Exchange (ESX)</t>
  </si>
  <si>
    <t>Finland</t>
  </si>
  <si>
    <t>Nasdaq Helsinki</t>
  </si>
  <si>
    <t>France</t>
  </si>
  <si>
    <t>Euronext Paris; CAC-40 Index</t>
  </si>
  <si>
    <t>Germany</t>
  </si>
  <si>
    <t>DAX Index, Frankfurt Stock Exchange, Xetra; DAX Index</t>
  </si>
  <si>
    <t>Greece</t>
  </si>
  <si>
    <t>Euronext Athens</t>
  </si>
  <si>
    <t>Iceland</t>
  </si>
  <si>
    <t>Nasdaq Iceland</t>
  </si>
  <si>
    <t>Indonesia</t>
  </si>
  <si>
    <t>IDX - largest 500 eligible issuers</t>
  </si>
  <si>
    <t>Israel</t>
  </si>
  <si>
    <t>Tel Aviv Stock Exchange (TASE)</t>
  </si>
  <si>
    <t>Italy</t>
  </si>
  <si>
    <t>Euronext Milan, Borsa Italiana; FTSE MIB Index</t>
  </si>
  <si>
    <t>Japan</t>
  </si>
  <si>
    <t>Nikkei 225 Index; TOPIX Largest 500 by Market Capitalisation, Tokyo Stock Exchange / JPX</t>
  </si>
  <si>
    <t>Jordan</t>
  </si>
  <si>
    <t>Amman Stock Exchange (ASE)</t>
  </si>
  <si>
    <t>Kazakhstan</t>
  </si>
  <si>
    <t>KASE; Astana International Exchange</t>
  </si>
  <si>
    <t>Latvia</t>
  </si>
  <si>
    <t>Nasdaq Riga</t>
  </si>
  <si>
    <t>Lithuania</t>
  </si>
  <si>
    <t>Nasdaq Vilnius</t>
  </si>
  <si>
    <t>Luxembourg</t>
  </si>
  <si>
    <t>Luxembourg SE</t>
  </si>
  <si>
    <t>Maldives</t>
  </si>
  <si>
    <t>Maldives Stock Exchange</t>
  </si>
  <si>
    <t>Mexico</t>
  </si>
  <si>
    <t>Biva; Mexican Stock Exchange</t>
  </si>
  <si>
    <t>Mongolia</t>
  </si>
  <si>
    <t>Mongolian Stock Exchange (MSE)</t>
  </si>
  <si>
    <t>Morocco</t>
  </si>
  <si>
    <t>Casablanca Stock Exchange</t>
  </si>
  <si>
    <t>Nepal</t>
  </si>
  <si>
    <t>NEPSE</t>
  </si>
  <si>
    <t>Netherlands</t>
  </si>
  <si>
    <t>Euronext Amsterdam</t>
  </si>
  <si>
    <t>North Macedonia</t>
  </si>
  <si>
    <t>Macedonian Stock Exchange, Inc. Skopje</t>
  </si>
  <si>
    <t>Norway</t>
  </si>
  <si>
    <t>Euronext Oslo Børs</t>
  </si>
  <si>
    <t>Palestine</t>
  </si>
  <si>
    <t>Palestine Exchange (PEX)</t>
  </si>
  <si>
    <t>Panama</t>
  </si>
  <si>
    <t>Latinex - Latin American Stock Exchange</t>
  </si>
  <si>
    <t>Peru</t>
  </si>
  <si>
    <t>Lima Exchange / nuam</t>
  </si>
  <si>
    <t>Poland</t>
  </si>
  <si>
    <t>Warsaw Stock Exchange</t>
  </si>
  <si>
    <t>Portugal</t>
  </si>
  <si>
    <t>Euronext Lisbon</t>
  </si>
  <si>
    <t>Russia</t>
  </si>
  <si>
    <t>Moscow Exchange (MOEX)</t>
  </si>
  <si>
    <t>Saudi Arabia</t>
  </si>
  <si>
    <t>Saudi Exchange / Tadawul</t>
  </si>
  <si>
    <t>Somalia</t>
  </si>
  <si>
    <t>Somali Stock Exchange</t>
  </si>
  <si>
    <t>South Korea</t>
  </si>
  <si>
    <t>KOSPI/KOSDAQ - largest 500 eligible issuers</t>
  </si>
  <si>
    <t>Spain</t>
  </si>
  <si>
    <t>BME / SIX</t>
  </si>
  <si>
    <t>Sweden</t>
  </si>
  <si>
    <t>Nasdaq Stockholm</t>
  </si>
  <si>
    <t>Switzerland</t>
  </si>
  <si>
    <t>SIX Swiss Exchange</t>
  </si>
  <si>
    <t>Taiwan</t>
  </si>
  <si>
    <t>Taiwan Stock Exchange (TWSE); Taipei Exchange</t>
  </si>
  <si>
    <t>Thailand</t>
  </si>
  <si>
    <t>SET/mai - largest 500 eligible issuers</t>
  </si>
  <si>
    <t>Tunisia</t>
  </si>
  <si>
    <t>Tunis Stock Exchange</t>
  </si>
  <si>
    <t>Turkey</t>
  </si>
  <si>
    <t>BIST Index, Borsa Istanbul</t>
  </si>
  <si>
    <t>Vietnam</t>
  </si>
  <si>
    <t>HOSE; HNX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</si>
</sst>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9"/>
      <color rgb="FFFFFFFF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3"/>
      <color rgb="FFFFFFFF"/>
      <name val="Calibri"/>
    </font>
    <font>
      <i/>
      <sz val="9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2" borderId="0" xfId="0" applyFont="1" applyFill="1"/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99281C-7011-4F4F-BCEE-7B0B9D3E5B77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2bf098e9-e9be-439e-8f82-5ec7acc308a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B5" sqref="B5"/>
    </sheetView>
  </sheetViews>
  <sheetFormatPr defaultRowHeight="14.4" x14ac:dyDescent="0.3"/>
  <cols>
    <col min="1" max="1" width="20" customWidth="1"/>
    <col min="2" max="2" width="15.33203125" customWidth="1"/>
    <col min="3" max="3" width="61.109375" customWidth="1"/>
    <col min="4" max="4" width="13" customWidth="1"/>
  </cols>
  <sheetData>
    <row r="1" spans="1:4" ht="21.75" customHeight="1" x14ac:dyDescent="0.35">
      <c r="A1" s="10" t="s">
        <v>0</v>
      </c>
      <c r="B1" s="10"/>
      <c r="C1" s="10"/>
      <c r="D1" s="10"/>
    </row>
    <row r="2" spans="1:4" ht="26.25" customHeight="1" x14ac:dyDescent="0.3">
      <c r="A2" s="11" t="s">
        <v>1</v>
      </c>
      <c r="B2" s="11"/>
      <c r="C2" s="11"/>
      <c r="D2" s="11"/>
    </row>
    <row r="3" spans="1:4" ht="6.75" customHeight="1" x14ac:dyDescent="0.3">
      <c r="A3" s="1"/>
      <c r="B3" s="1"/>
      <c r="C3" s="1"/>
      <c r="D3" s="1"/>
    </row>
    <row r="4" spans="1:4" ht="18.75" customHeight="1" x14ac:dyDescent="0.3">
      <c r="A4" s="2" t="s">
        <v>2</v>
      </c>
      <c r="B4" s="2" t="s">
        <v>3</v>
      </c>
      <c r="C4" s="2" t="s">
        <v>4</v>
      </c>
      <c r="D4" s="2"/>
    </row>
    <row r="5" spans="1:4" ht="17.25" customHeight="1" x14ac:dyDescent="0.3">
      <c r="A5" s="3" t="s">
        <v>5</v>
      </c>
      <c r="B5" s="4">
        <v>2692</v>
      </c>
      <c r="C5" s="3" t="s">
        <v>6</v>
      </c>
      <c r="D5" s="3"/>
    </row>
    <row r="6" spans="1:4" ht="17.25" customHeight="1" x14ac:dyDescent="0.3">
      <c r="A6" s="3" t="s">
        <v>7</v>
      </c>
      <c r="B6" s="4">
        <v>19</v>
      </c>
      <c r="C6" s="3" t="s">
        <v>8</v>
      </c>
      <c r="D6" s="3"/>
    </row>
    <row r="7" spans="1:4" ht="17.25" customHeight="1" x14ac:dyDescent="0.3">
      <c r="A7" s="3" t="s">
        <v>9</v>
      </c>
      <c r="B7" s="4">
        <v>110</v>
      </c>
      <c r="C7" s="3" t="s">
        <v>10</v>
      </c>
      <c r="D7" s="3"/>
    </row>
    <row r="8" spans="1:4" ht="17.25" customHeight="1" x14ac:dyDescent="0.3">
      <c r="A8" s="3" t="s">
        <v>11</v>
      </c>
      <c r="B8" s="4">
        <v>628</v>
      </c>
      <c r="C8" s="3" t="s">
        <v>12</v>
      </c>
      <c r="D8" s="3"/>
    </row>
    <row r="9" spans="1:4" ht="17.25" customHeight="1" x14ac:dyDescent="0.3">
      <c r="A9" s="3" t="s">
        <v>13</v>
      </c>
      <c r="B9" s="4">
        <v>19</v>
      </c>
      <c r="C9" s="3" t="s">
        <v>14</v>
      </c>
      <c r="D9" s="3"/>
    </row>
    <row r="10" spans="1:4" ht="17.25" customHeight="1" x14ac:dyDescent="0.3">
      <c r="A10" s="3" t="s">
        <v>15</v>
      </c>
      <c r="B10" s="4">
        <v>19</v>
      </c>
      <c r="C10" s="3" t="s">
        <v>16</v>
      </c>
      <c r="D10" s="3"/>
    </row>
    <row r="11" spans="1:4" ht="17.25" customHeight="1" x14ac:dyDescent="0.3">
      <c r="A11" s="3" t="s">
        <v>17</v>
      </c>
      <c r="B11" s="4">
        <v>30</v>
      </c>
      <c r="C11" s="3" t="s">
        <v>18</v>
      </c>
      <c r="D11" s="3"/>
    </row>
    <row r="12" spans="1:4" ht="17.25" customHeight="1" x14ac:dyDescent="0.3">
      <c r="A12" s="3" t="s">
        <v>19</v>
      </c>
      <c r="B12" s="4">
        <v>2589</v>
      </c>
      <c r="C12" s="3" t="s">
        <v>20</v>
      </c>
      <c r="D12" s="3"/>
    </row>
    <row r="13" spans="1:4" ht="17.25" customHeight="1" x14ac:dyDescent="0.3">
      <c r="A13" s="3" t="s">
        <v>21</v>
      </c>
      <c r="B13" s="4">
        <v>13</v>
      </c>
      <c r="C13" s="3" t="s">
        <v>22</v>
      </c>
      <c r="D13" s="3"/>
    </row>
    <row r="14" spans="1:4" ht="17.25" customHeight="1" x14ac:dyDescent="0.3">
      <c r="A14" s="3" t="s">
        <v>23</v>
      </c>
      <c r="B14" s="4">
        <v>9</v>
      </c>
      <c r="C14" s="3" t="s">
        <v>24</v>
      </c>
      <c r="D14" s="3"/>
    </row>
    <row r="15" spans="1:4" ht="17.25" customHeight="1" x14ac:dyDescent="0.3">
      <c r="A15" s="3" t="s">
        <v>25</v>
      </c>
      <c r="B15" s="4">
        <v>20</v>
      </c>
      <c r="C15" s="3" t="s">
        <v>26</v>
      </c>
      <c r="D15" s="3"/>
    </row>
    <row r="16" spans="1:4" ht="17.25" customHeight="1" x14ac:dyDescent="0.3">
      <c r="A16" s="3" t="s">
        <v>27</v>
      </c>
      <c r="B16" s="4">
        <v>37</v>
      </c>
      <c r="C16" s="3" t="s">
        <v>28</v>
      </c>
      <c r="D16" s="3"/>
    </row>
    <row r="17" spans="1:4" ht="17.25" customHeight="1" x14ac:dyDescent="0.3">
      <c r="A17" s="3" t="s">
        <v>29</v>
      </c>
      <c r="B17" s="4">
        <v>13</v>
      </c>
      <c r="C17" s="3" t="s">
        <v>30</v>
      </c>
      <c r="D17" s="3"/>
    </row>
    <row r="18" spans="1:4" ht="17.25" customHeight="1" x14ac:dyDescent="0.3">
      <c r="A18" s="3" t="s">
        <v>31</v>
      </c>
      <c r="B18" s="4">
        <v>2763</v>
      </c>
      <c r="C18" s="3" t="s">
        <v>32</v>
      </c>
      <c r="D18" s="3"/>
    </row>
    <row r="19" spans="1:4" ht="17.25" customHeight="1" x14ac:dyDescent="0.3">
      <c r="A19" s="3" t="s">
        <v>33</v>
      </c>
      <c r="B19" s="4">
        <v>3046</v>
      </c>
      <c r="C19" s="3" t="s">
        <v>34</v>
      </c>
      <c r="D19" s="3"/>
    </row>
    <row r="20" spans="1:4" ht="17.25" customHeight="1" x14ac:dyDescent="0.3">
      <c r="A20" s="3" t="s">
        <v>35</v>
      </c>
      <c r="B20" s="4">
        <v>40</v>
      </c>
      <c r="C20" s="3" t="s">
        <v>36</v>
      </c>
      <c r="D20" s="3"/>
    </row>
    <row r="21" spans="1:4" ht="17.25" customHeight="1" x14ac:dyDescent="0.3">
      <c r="A21" s="3" t="s">
        <v>37</v>
      </c>
      <c r="B21" s="4">
        <v>95</v>
      </c>
      <c r="C21" s="3" t="s">
        <v>38</v>
      </c>
      <c r="D21" s="3"/>
    </row>
    <row r="22" spans="1:4" ht="17.25" customHeight="1" x14ac:dyDescent="0.3">
      <c r="A22" s="3" t="s">
        <v>39</v>
      </c>
      <c r="B22" s="4">
        <v>62</v>
      </c>
      <c r="C22" s="3" t="s">
        <v>40</v>
      </c>
      <c r="D22" s="3"/>
    </row>
    <row r="23" spans="1:4" ht="17.25" customHeight="1" x14ac:dyDescent="0.3">
      <c r="A23" s="3" t="s">
        <v>41</v>
      </c>
      <c r="B23" s="4">
        <v>167</v>
      </c>
      <c r="C23" s="3" t="s">
        <v>42</v>
      </c>
      <c r="D23" s="3"/>
    </row>
    <row r="24" spans="1:4" ht="17.25" customHeight="1" x14ac:dyDescent="0.3">
      <c r="A24" s="3" t="s">
        <v>43</v>
      </c>
      <c r="B24" s="4">
        <v>17</v>
      </c>
      <c r="C24" s="3" t="s">
        <v>44</v>
      </c>
      <c r="D24" s="3"/>
    </row>
    <row r="25" spans="1:4" ht="17.25" customHeight="1" x14ac:dyDescent="0.3">
      <c r="A25" s="3" t="s">
        <v>45</v>
      </c>
      <c r="B25" s="4">
        <v>1109</v>
      </c>
      <c r="C25" s="3" t="s">
        <v>46</v>
      </c>
      <c r="D25" s="3"/>
    </row>
    <row r="26" spans="1:4" ht="17.25" customHeight="1" x14ac:dyDescent="0.3">
      <c r="A26" s="3" t="s">
        <v>47</v>
      </c>
      <c r="B26" s="4">
        <v>112</v>
      </c>
      <c r="C26" s="3" t="s">
        <v>48</v>
      </c>
      <c r="D26" s="3"/>
    </row>
    <row r="27" spans="1:4" ht="17.25" customHeight="1" x14ac:dyDescent="0.3">
      <c r="A27" s="3" t="s">
        <v>49</v>
      </c>
      <c r="B27" s="4">
        <v>98</v>
      </c>
      <c r="C27" s="3" t="s">
        <v>50</v>
      </c>
      <c r="D27" s="3"/>
    </row>
    <row r="28" spans="1:4" ht="17.25" customHeight="1" x14ac:dyDescent="0.3">
      <c r="A28" s="3" t="s">
        <v>51</v>
      </c>
      <c r="B28" s="4">
        <v>41</v>
      </c>
      <c r="C28" s="3" t="s">
        <v>52</v>
      </c>
      <c r="D28" s="3"/>
    </row>
    <row r="29" spans="1:4" ht="17.25" customHeight="1" x14ac:dyDescent="0.3">
      <c r="A29" s="3" t="s">
        <v>53</v>
      </c>
      <c r="B29" s="4">
        <v>117</v>
      </c>
      <c r="C29" s="3" t="s">
        <v>54</v>
      </c>
      <c r="D29" s="3"/>
    </row>
    <row r="30" spans="1:4" ht="17.25" customHeight="1" x14ac:dyDescent="0.3">
      <c r="A30" s="3" t="s">
        <v>55</v>
      </c>
      <c r="B30" s="4">
        <v>164</v>
      </c>
      <c r="C30" s="3" t="s">
        <v>56</v>
      </c>
      <c r="D30" s="3"/>
    </row>
    <row r="31" spans="1:4" ht="17.25" customHeight="1" x14ac:dyDescent="0.3">
      <c r="A31" s="3" t="s">
        <v>57</v>
      </c>
      <c r="B31" s="4">
        <v>39</v>
      </c>
      <c r="C31" s="3" t="s">
        <v>58</v>
      </c>
      <c r="D31" s="3"/>
    </row>
    <row r="32" spans="1:4" ht="17.25" customHeight="1" x14ac:dyDescent="0.3">
      <c r="A32" s="3" t="s">
        <v>59</v>
      </c>
      <c r="B32" s="4">
        <v>538</v>
      </c>
      <c r="C32" s="3" t="s">
        <v>60</v>
      </c>
      <c r="D32" s="3"/>
    </row>
    <row r="33" spans="1:4" ht="17.25" customHeight="1" x14ac:dyDescent="0.3">
      <c r="A33" s="3" t="s">
        <v>61</v>
      </c>
      <c r="B33" s="4">
        <v>12</v>
      </c>
      <c r="C33" s="3" t="s">
        <v>62</v>
      </c>
      <c r="D33" s="3"/>
    </row>
    <row r="34" spans="1:4" ht="17.25" customHeight="1" x14ac:dyDescent="0.3">
      <c r="A34" s="3" t="s">
        <v>63</v>
      </c>
      <c r="B34" s="4">
        <v>280</v>
      </c>
      <c r="C34" s="3" t="s">
        <v>64</v>
      </c>
      <c r="D34" s="3"/>
    </row>
    <row r="35" spans="1:4" ht="17.25" customHeight="1" x14ac:dyDescent="0.3">
      <c r="A35" s="3" t="s">
        <v>65</v>
      </c>
      <c r="B35" s="4">
        <v>72</v>
      </c>
      <c r="C35" s="3" t="s">
        <v>66</v>
      </c>
      <c r="D35" s="3"/>
    </row>
    <row r="36" spans="1:4" ht="17.25" customHeight="1" x14ac:dyDescent="0.3">
      <c r="A36" s="3" t="s">
        <v>67</v>
      </c>
      <c r="B36" s="4">
        <v>10</v>
      </c>
      <c r="C36" s="3" t="s">
        <v>68</v>
      </c>
      <c r="D36" s="3"/>
    </row>
    <row r="37" spans="1:4" ht="17.25" customHeight="1" x14ac:dyDescent="0.3">
      <c r="A37" s="3" t="s">
        <v>69</v>
      </c>
      <c r="B37" s="4">
        <v>51</v>
      </c>
      <c r="C37" s="3" t="s">
        <v>70</v>
      </c>
      <c r="D37" s="3"/>
    </row>
    <row r="38" spans="1:4" ht="17.25" customHeight="1" x14ac:dyDescent="0.3">
      <c r="A38" s="3" t="s">
        <v>71</v>
      </c>
      <c r="B38" s="4">
        <v>604</v>
      </c>
      <c r="C38" s="3" t="s">
        <v>72</v>
      </c>
      <c r="D38" s="3"/>
    </row>
    <row r="39" spans="1:4" ht="17.25" customHeight="1" x14ac:dyDescent="0.3">
      <c r="A39" s="3" t="s">
        <v>73</v>
      </c>
      <c r="B39" s="4">
        <v>337</v>
      </c>
      <c r="C39" s="3" t="s">
        <v>74</v>
      </c>
      <c r="D39" s="3"/>
    </row>
    <row r="40" spans="1:4" ht="17.25" customHeight="1" x14ac:dyDescent="0.3">
      <c r="A40" s="3" t="s">
        <v>75</v>
      </c>
      <c r="B40" s="4">
        <v>291</v>
      </c>
      <c r="C40" s="3" t="s">
        <v>76</v>
      </c>
      <c r="D40" s="3"/>
    </row>
    <row r="41" spans="1:4" ht="17.25" customHeight="1" x14ac:dyDescent="0.3">
      <c r="A41" s="3" t="s">
        <v>77</v>
      </c>
      <c r="B41" s="4">
        <v>28</v>
      </c>
      <c r="C41" s="3" t="s">
        <v>78</v>
      </c>
      <c r="D41" s="3"/>
    </row>
    <row r="42" spans="1:4" ht="17.25" customHeight="1" x14ac:dyDescent="0.3">
      <c r="A42" s="3" t="s">
        <v>79</v>
      </c>
      <c r="B42" s="4">
        <v>30</v>
      </c>
      <c r="C42" s="3" t="s">
        <v>80</v>
      </c>
      <c r="D42" s="3"/>
    </row>
    <row r="43" spans="1:4" ht="17.25" customHeight="1" x14ac:dyDescent="0.3">
      <c r="A43" s="3" t="s">
        <v>81</v>
      </c>
      <c r="B43" s="4">
        <v>161</v>
      </c>
      <c r="C43" s="3" t="s">
        <v>82</v>
      </c>
      <c r="D43" s="3"/>
    </row>
    <row r="44" spans="1:4" ht="17.25" customHeight="1" x14ac:dyDescent="0.3">
      <c r="A44" s="3" t="s">
        <v>83</v>
      </c>
      <c r="B44" s="4">
        <v>3191</v>
      </c>
      <c r="C44" s="3" t="s">
        <v>84</v>
      </c>
      <c r="D44" s="3"/>
    </row>
    <row r="45" spans="1:4" ht="17.25" customHeight="1" x14ac:dyDescent="0.3">
      <c r="A45" s="3" t="s">
        <v>85</v>
      </c>
      <c r="B45" s="4">
        <v>9548</v>
      </c>
      <c r="C45" s="3" t="s">
        <v>86</v>
      </c>
      <c r="D45" s="3"/>
    </row>
    <row r="46" spans="1:4" ht="17.25" customHeight="1" x14ac:dyDescent="0.3">
      <c r="A46" s="3" t="s">
        <v>87</v>
      </c>
      <c r="B46" s="4">
        <v>10</v>
      </c>
      <c r="C46" s="3" t="s">
        <v>88</v>
      </c>
      <c r="D46" s="3"/>
    </row>
    <row r="47" spans="1:4" ht="17.25" customHeight="1" x14ac:dyDescent="0.3">
      <c r="A47" s="3" t="s">
        <v>89</v>
      </c>
      <c r="B47" s="4">
        <v>24</v>
      </c>
      <c r="C47" s="3" t="s">
        <v>90</v>
      </c>
      <c r="D47" s="3"/>
    </row>
    <row r="48" spans="1:4" ht="17.25" customHeight="1" x14ac:dyDescent="0.3">
      <c r="A48" s="3" t="s">
        <v>91</v>
      </c>
      <c r="B48" s="4">
        <v>56</v>
      </c>
      <c r="C48" s="3" t="s">
        <v>92</v>
      </c>
      <c r="D48" s="3"/>
    </row>
    <row r="49" spans="1:4" ht="17.25" customHeight="1" x14ac:dyDescent="0.3">
      <c r="A49" s="3"/>
      <c r="B49" s="4"/>
      <c r="C49" s="3"/>
      <c r="D49" s="3"/>
    </row>
    <row r="50" spans="1:4" ht="17.25" customHeight="1" x14ac:dyDescent="0.3">
      <c r="A50" s="7" t="s">
        <v>93</v>
      </c>
      <c r="B50" s="8">
        <f>SUM(B5:B48)</f>
        <v>29311</v>
      </c>
      <c r="C50" s="9"/>
      <c r="D50" s="3"/>
    </row>
    <row r="51" spans="1:4" x14ac:dyDescent="0.3">
      <c r="A51" t="s">
        <v>94</v>
      </c>
      <c r="B51">
        <f>29331*8</f>
        <v>234648</v>
      </c>
      <c r="C51" t="s">
        <v>95</v>
      </c>
    </row>
    <row r="54" spans="1:4" x14ac:dyDescent="0.3">
      <c r="B54" t="s">
        <v>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B149-D10F-499F-B3DF-5F94164FF479}">
  <dimension ref="A1:D60"/>
  <sheetViews>
    <sheetView topLeftCell="A46" workbookViewId="0">
      <selection activeCell="B59" sqref="B59"/>
    </sheetView>
  </sheetViews>
  <sheetFormatPr defaultRowHeight="14.4" x14ac:dyDescent="0.3"/>
  <cols>
    <col min="1" max="1" width="20" customWidth="1"/>
    <col min="2" max="2" width="15.33203125" customWidth="1"/>
    <col min="3" max="3" width="51.44140625" customWidth="1"/>
    <col min="4" max="4" width="13" customWidth="1"/>
  </cols>
  <sheetData>
    <row r="1" spans="1:4" ht="21.75" customHeight="1" x14ac:dyDescent="0.35">
      <c r="A1" s="10" t="s">
        <v>96</v>
      </c>
      <c r="B1" s="10"/>
      <c r="C1" s="10"/>
      <c r="D1" s="10"/>
    </row>
    <row r="2" spans="1:4" ht="26.25" customHeight="1" x14ac:dyDescent="0.3">
      <c r="A2" s="11" t="s">
        <v>97</v>
      </c>
      <c r="B2" s="11"/>
      <c r="C2" s="11"/>
      <c r="D2" s="11"/>
    </row>
    <row r="3" spans="1:4" ht="6.75" customHeight="1" x14ac:dyDescent="0.3">
      <c r="A3" s="1"/>
      <c r="B3" s="1"/>
      <c r="C3" s="1"/>
      <c r="D3" s="1"/>
    </row>
    <row r="4" spans="1:4" ht="18.75" customHeight="1" x14ac:dyDescent="0.3">
      <c r="A4" s="2" t="s">
        <v>2</v>
      </c>
      <c r="B4" s="2" t="s">
        <v>3</v>
      </c>
      <c r="C4" s="2" t="s">
        <v>4</v>
      </c>
      <c r="D4" s="2"/>
    </row>
    <row r="5" spans="1:4" ht="17.25" customHeight="1" x14ac:dyDescent="0.3">
      <c r="A5" s="3" t="s">
        <v>98</v>
      </c>
      <c r="B5" s="4">
        <v>580</v>
      </c>
      <c r="C5" s="3" t="s">
        <v>99</v>
      </c>
      <c r="D5" s="3"/>
    </row>
    <row r="6" spans="1:4" ht="17.25" customHeight="1" x14ac:dyDescent="0.3">
      <c r="A6" s="3" t="s">
        <v>100</v>
      </c>
      <c r="B6" s="4">
        <v>81</v>
      </c>
      <c r="C6" s="3" t="s">
        <v>101</v>
      </c>
      <c r="D6" s="3"/>
    </row>
    <row r="7" spans="1:4" ht="17.25" customHeight="1" x14ac:dyDescent="0.3">
      <c r="A7" s="3" t="s">
        <v>102</v>
      </c>
      <c r="B7" s="4">
        <v>46</v>
      </c>
      <c r="C7" s="3" t="s">
        <v>103</v>
      </c>
      <c r="D7" s="3"/>
    </row>
    <row r="8" spans="1:4" ht="17.25" customHeight="1" x14ac:dyDescent="0.3">
      <c r="A8" s="3" t="s">
        <v>104</v>
      </c>
      <c r="B8" s="4">
        <v>206</v>
      </c>
      <c r="C8" s="3" t="s">
        <v>105</v>
      </c>
      <c r="D8" s="3"/>
    </row>
    <row r="9" spans="1:4" ht="17.25" customHeight="1" x14ac:dyDescent="0.3">
      <c r="A9" s="3" t="s">
        <v>106</v>
      </c>
      <c r="B9" s="4">
        <v>347</v>
      </c>
      <c r="C9" s="3" t="s">
        <v>107</v>
      </c>
      <c r="D9" s="3"/>
    </row>
    <row r="10" spans="1:4" ht="17.25" customHeight="1" x14ac:dyDescent="0.3">
      <c r="A10" s="3" t="s">
        <v>108</v>
      </c>
      <c r="B10" s="4">
        <v>12</v>
      </c>
      <c r="C10" s="3" t="s">
        <v>109</v>
      </c>
      <c r="D10" s="3"/>
    </row>
    <row r="11" spans="1:4" ht="17.25" customHeight="1" x14ac:dyDescent="0.3">
      <c r="A11" s="3" t="s">
        <v>110</v>
      </c>
      <c r="B11" s="4">
        <v>272</v>
      </c>
      <c r="C11" s="3" t="s">
        <v>111</v>
      </c>
      <c r="D11" s="3"/>
    </row>
    <row r="12" spans="1:4" ht="17.25" customHeight="1" x14ac:dyDescent="0.3">
      <c r="A12" s="3" t="s">
        <v>112</v>
      </c>
      <c r="B12" s="4">
        <v>8117</v>
      </c>
      <c r="C12" s="3" t="s">
        <v>113</v>
      </c>
      <c r="D12" s="3"/>
    </row>
    <row r="13" spans="1:4" ht="17.25" customHeight="1" x14ac:dyDescent="0.3">
      <c r="A13" s="3" t="s">
        <v>114</v>
      </c>
      <c r="B13" s="4">
        <v>62</v>
      </c>
      <c r="C13" s="3" t="s">
        <v>115</v>
      </c>
      <c r="D13" s="3"/>
    </row>
    <row r="14" spans="1:4" ht="17.25" customHeight="1" x14ac:dyDescent="0.3">
      <c r="A14" s="3" t="s">
        <v>116</v>
      </c>
      <c r="B14" s="4">
        <v>10</v>
      </c>
      <c r="C14" s="3" t="s">
        <v>117</v>
      </c>
      <c r="D14" s="3"/>
    </row>
    <row r="15" spans="1:4" ht="17.25" customHeight="1" x14ac:dyDescent="0.3">
      <c r="A15" s="3" t="s">
        <v>118</v>
      </c>
      <c r="B15" s="4">
        <v>62</v>
      </c>
      <c r="C15" s="3" t="s">
        <v>119</v>
      </c>
      <c r="D15" s="3"/>
    </row>
    <row r="16" spans="1:4" ht="17.25" customHeight="1" x14ac:dyDescent="0.3">
      <c r="A16" s="3" t="s">
        <v>120</v>
      </c>
      <c r="B16" s="4">
        <v>125</v>
      </c>
      <c r="C16" s="3" t="s">
        <v>121</v>
      </c>
      <c r="D16" s="3"/>
    </row>
    <row r="17" spans="1:4" ht="17.25" customHeight="1" x14ac:dyDescent="0.3">
      <c r="A17" s="3" t="s">
        <v>122</v>
      </c>
      <c r="B17" s="4">
        <v>272</v>
      </c>
      <c r="C17" s="3" t="s">
        <v>123</v>
      </c>
      <c r="D17" s="3"/>
    </row>
    <row r="18" spans="1:4" ht="17.25" customHeight="1" x14ac:dyDescent="0.3">
      <c r="A18" s="3" t="s">
        <v>124</v>
      </c>
      <c r="B18" s="4">
        <v>31</v>
      </c>
      <c r="C18" s="3" t="s">
        <v>125</v>
      </c>
      <c r="D18" s="3"/>
    </row>
    <row r="19" spans="1:4" ht="17.25" customHeight="1" x14ac:dyDescent="0.3">
      <c r="A19" s="3" t="s">
        <v>126</v>
      </c>
      <c r="B19" s="4">
        <v>6</v>
      </c>
      <c r="C19" s="3" t="s">
        <v>127</v>
      </c>
      <c r="D19" s="3"/>
    </row>
    <row r="20" spans="1:4" ht="17.25" customHeight="1" x14ac:dyDescent="0.3">
      <c r="A20" s="3" t="s">
        <v>128</v>
      </c>
      <c r="B20" s="4">
        <v>135</v>
      </c>
      <c r="C20" s="3" t="s">
        <v>129</v>
      </c>
      <c r="D20" s="3"/>
    </row>
    <row r="21" spans="1:4" ht="17.25" customHeight="1" x14ac:dyDescent="0.3">
      <c r="A21" s="3" t="s">
        <v>130</v>
      </c>
      <c r="B21" s="4">
        <v>835</v>
      </c>
      <c r="C21" s="3" t="s">
        <v>131</v>
      </c>
      <c r="D21" s="3"/>
    </row>
    <row r="22" spans="1:4" ht="17.25" customHeight="1" x14ac:dyDescent="0.3">
      <c r="A22" s="3" t="s">
        <v>132</v>
      </c>
      <c r="B22" s="4">
        <v>490</v>
      </c>
      <c r="C22" s="3" t="s">
        <v>133</v>
      </c>
      <c r="D22" s="3"/>
    </row>
    <row r="23" spans="1:4" ht="17.25" customHeight="1" x14ac:dyDescent="0.3">
      <c r="A23" s="3" t="s">
        <v>134</v>
      </c>
      <c r="B23" s="4">
        <v>148</v>
      </c>
      <c r="C23" s="3" t="s">
        <v>135</v>
      </c>
      <c r="D23" s="3"/>
    </row>
    <row r="24" spans="1:4" ht="17.25" customHeight="1" x14ac:dyDescent="0.3">
      <c r="A24" s="3" t="s">
        <v>136</v>
      </c>
      <c r="B24" s="4">
        <v>21</v>
      </c>
      <c r="C24" s="3" t="s">
        <v>137</v>
      </c>
      <c r="D24" s="3"/>
    </row>
    <row r="25" spans="1:4" ht="17.25" customHeight="1" x14ac:dyDescent="0.3">
      <c r="A25" s="3" t="s">
        <v>138</v>
      </c>
      <c r="B25" s="4">
        <v>964</v>
      </c>
      <c r="C25" s="3" t="s">
        <v>139</v>
      </c>
      <c r="D25" s="3"/>
    </row>
    <row r="26" spans="1:4" ht="17.25" customHeight="1" x14ac:dyDescent="0.3">
      <c r="A26" s="3" t="s">
        <v>140</v>
      </c>
      <c r="B26" s="4">
        <v>546</v>
      </c>
      <c r="C26" s="3" t="s">
        <v>141</v>
      </c>
      <c r="D26" s="3"/>
    </row>
    <row r="27" spans="1:4" ht="17.25" customHeight="1" x14ac:dyDescent="0.3">
      <c r="A27" s="3" t="s">
        <v>142</v>
      </c>
      <c r="B27" s="4">
        <v>438</v>
      </c>
      <c r="C27" s="3" t="s">
        <v>143</v>
      </c>
      <c r="D27" s="3"/>
    </row>
    <row r="28" spans="1:4" ht="17.25" customHeight="1" x14ac:dyDescent="0.3">
      <c r="A28" s="3" t="s">
        <v>144</v>
      </c>
      <c r="B28" s="4">
        <v>4148</v>
      </c>
      <c r="C28" s="3" t="s">
        <v>145</v>
      </c>
      <c r="D28" s="3"/>
    </row>
    <row r="29" spans="1:4" ht="17.25" customHeight="1" x14ac:dyDescent="0.3">
      <c r="A29" s="3" t="s">
        <v>146</v>
      </c>
      <c r="B29" s="4">
        <v>155</v>
      </c>
      <c r="C29" s="3" t="s">
        <v>147</v>
      </c>
      <c r="D29" s="3"/>
    </row>
    <row r="30" spans="1:4" ht="17.25" customHeight="1" x14ac:dyDescent="0.3">
      <c r="A30" s="3" t="s">
        <v>148</v>
      </c>
      <c r="B30" s="4">
        <v>196</v>
      </c>
      <c r="C30" s="3" t="s">
        <v>149</v>
      </c>
      <c r="D30" s="3"/>
    </row>
    <row r="31" spans="1:4" ht="17.25" customHeight="1" x14ac:dyDescent="0.3">
      <c r="A31" s="3" t="s">
        <v>150</v>
      </c>
      <c r="B31" s="4">
        <v>22</v>
      </c>
      <c r="C31" s="3" t="s">
        <v>151</v>
      </c>
      <c r="D31" s="3"/>
    </row>
    <row r="32" spans="1:4" ht="17.25" customHeight="1" x14ac:dyDescent="0.3">
      <c r="A32" s="3" t="s">
        <v>152</v>
      </c>
      <c r="B32" s="4">
        <v>32</v>
      </c>
      <c r="C32" s="3" t="s">
        <v>153</v>
      </c>
      <c r="D32" s="3"/>
    </row>
    <row r="33" spans="1:4" ht="17.25" customHeight="1" x14ac:dyDescent="0.3">
      <c r="A33" s="3" t="s">
        <v>154</v>
      </c>
      <c r="B33" s="4">
        <v>120</v>
      </c>
      <c r="C33" s="3" t="s">
        <v>155</v>
      </c>
      <c r="D33" s="3"/>
    </row>
    <row r="34" spans="1:4" ht="17.25" customHeight="1" x14ac:dyDescent="0.3">
      <c r="A34" s="3" t="s">
        <v>156</v>
      </c>
      <c r="B34" s="4">
        <v>9</v>
      </c>
      <c r="C34" s="3" t="s">
        <v>157</v>
      </c>
      <c r="D34" s="3"/>
    </row>
    <row r="35" spans="1:4" ht="17.25" customHeight="1" x14ac:dyDescent="0.3">
      <c r="A35" s="3" t="s">
        <v>158</v>
      </c>
      <c r="B35" s="4">
        <v>193</v>
      </c>
      <c r="C35" s="3" t="s">
        <v>159</v>
      </c>
      <c r="D35" s="3"/>
    </row>
    <row r="36" spans="1:4" ht="17.25" customHeight="1" x14ac:dyDescent="0.3">
      <c r="A36" s="3" t="s">
        <v>160</v>
      </c>
      <c r="B36" s="4">
        <v>386</v>
      </c>
      <c r="C36" s="3" t="s">
        <v>161</v>
      </c>
      <c r="D36" s="3"/>
    </row>
    <row r="37" spans="1:4" ht="17.25" customHeight="1" x14ac:dyDescent="0.3">
      <c r="A37" s="3" t="s">
        <v>162</v>
      </c>
      <c r="B37" s="4">
        <v>76</v>
      </c>
      <c r="C37" s="3" t="s">
        <v>163</v>
      </c>
      <c r="D37" s="3"/>
    </row>
    <row r="38" spans="1:4" ht="17.25" customHeight="1" x14ac:dyDescent="0.3">
      <c r="A38" s="3" t="s">
        <v>164</v>
      </c>
      <c r="B38" s="4">
        <v>294</v>
      </c>
      <c r="C38" s="3" t="s">
        <v>165</v>
      </c>
      <c r="D38" s="3"/>
    </row>
    <row r="39" spans="1:4" ht="17.25" customHeight="1" x14ac:dyDescent="0.3">
      <c r="A39" s="3" t="s">
        <v>166</v>
      </c>
      <c r="B39" s="4">
        <v>164</v>
      </c>
      <c r="C39" s="3" t="s">
        <v>167</v>
      </c>
      <c r="D39" s="3"/>
    </row>
    <row r="40" spans="1:4" ht="17.25" customHeight="1" x14ac:dyDescent="0.3">
      <c r="A40" s="3" t="s">
        <v>168</v>
      </c>
      <c r="B40" s="4">
        <v>368</v>
      </c>
      <c r="C40" s="3" t="s">
        <v>169</v>
      </c>
      <c r="D40" s="3"/>
    </row>
    <row r="41" spans="1:4" ht="17.25" customHeight="1" x14ac:dyDescent="0.3">
      <c r="A41" s="3" t="s">
        <v>170</v>
      </c>
      <c r="B41" s="4">
        <v>341</v>
      </c>
      <c r="C41" s="3" t="s">
        <v>171</v>
      </c>
      <c r="D41" s="3"/>
    </row>
    <row r="42" spans="1:4" ht="17.25" customHeight="1" x14ac:dyDescent="0.3">
      <c r="A42" s="3" t="s">
        <v>172</v>
      </c>
      <c r="B42" s="4">
        <v>47</v>
      </c>
      <c r="C42" s="3" t="s">
        <v>173</v>
      </c>
      <c r="D42" s="3"/>
    </row>
    <row r="43" spans="1:4" ht="17.25" customHeight="1" x14ac:dyDescent="0.3">
      <c r="A43" s="3" t="s">
        <v>174</v>
      </c>
      <c r="B43" s="4">
        <v>43</v>
      </c>
      <c r="C43" s="3" t="s">
        <v>175</v>
      </c>
      <c r="D43" s="3"/>
    </row>
    <row r="44" spans="1:4" ht="17.25" customHeight="1" x14ac:dyDescent="0.3">
      <c r="A44" s="3" t="s">
        <v>176</v>
      </c>
      <c r="B44" s="4">
        <v>192</v>
      </c>
      <c r="C44" s="3" t="s">
        <v>177</v>
      </c>
      <c r="D44" s="3"/>
    </row>
    <row r="45" spans="1:4" ht="17.25" customHeight="1" x14ac:dyDescent="0.3">
      <c r="A45" s="3" t="s">
        <v>178</v>
      </c>
      <c r="B45" s="4">
        <v>733</v>
      </c>
      <c r="C45" s="3" t="s">
        <v>179</v>
      </c>
      <c r="D45" s="3"/>
    </row>
    <row r="46" spans="1:4" ht="17.25" customHeight="1" x14ac:dyDescent="0.3">
      <c r="A46" s="3" t="s">
        <v>180</v>
      </c>
      <c r="B46" s="4">
        <v>53</v>
      </c>
      <c r="C46" s="3" t="s">
        <v>181</v>
      </c>
      <c r="D46" s="3"/>
    </row>
    <row r="47" spans="1:4" ht="17.25" customHeight="1" x14ac:dyDescent="0.3">
      <c r="A47" s="3" t="s">
        <v>182</v>
      </c>
      <c r="B47" s="4">
        <v>832</v>
      </c>
      <c r="C47" s="3" t="s">
        <v>183</v>
      </c>
      <c r="D47" s="3"/>
    </row>
    <row r="48" spans="1:4" ht="17.25" customHeight="1" x14ac:dyDescent="0.3">
      <c r="A48" s="3" t="s">
        <v>184</v>
      </c>
      <c r="B48" s="4">
        <v>396</v>
      </c>
      <c r="C48" s="3" t="s">
        <v>185</v>
      </c>
      <c r="D48" s="3"/>
    </row>
    <row r="49" spans="1:4" ht="17.25" customHeight="1" x14ac:dyDescent="0.3">
      <c r="A49" s="3" t="s">
        <v>186</v>
      </c>
      <c r="B49" s="4">
        <v>10</v>
      </c>
      <c r="C49" s="3" t="s">
        <v>187</v>
      </c>
      <c r="D49" s="3"/>
    </row>
    <row r="50" spans="1:4" ht="17.25" customHeight="1" x14ac:dyDescent="0.3">
      <c r="A50" s="3" t="s">
        <v>188</v>
      </c>
      <c r="B50" s="4">
        <v>2262</v>
      </c>
      <c r="C50" s="3" t="s">
        <v>189</v>
      </c>
      <c r="D50" s="3"/>
    </row>
    <row r="51" spans="1:4" ht="17.25" customHeight="1" x14ac:dyDescent="0.3">
      <c r="A51" s="3" t="s">
        <v>190</v>
      </c>
      <c r="B51" s="4">
        <v>304</v>
      </c>
      <c r="C51" s="3" t="s">
        <v>191</v>
      </c>
      <c r="D51" s="3"/>
    </row>
    <row r="52" spans="1:4" ht="17.25" customHeight="1" x14ac:dyDescent="0.3">
      <c r="A52" s="3" t="s">
        <v>192</v>
      </c>
      <c r="B52" s="4">
        <v>384</v>
      </c>
      <c r="C52" s="3" t="s">
        <v>193</v>
      </c>
      <c r="D52" s="3"/>
    </row>
    <row r="53" spans="1:4" ht="17.25" customHeight="1" x14ac:dyDescent="0.3">
      <c r="A53" s="3" t="s">
        <v>194</v>
      </c>
      <c r="B53" s="4">
        <v>208</v>
      </c>
      <c r="C53" s="3" t="s">
        <v>195</v>
      </c>
      <c r="D53" s="3"/>
    </row>
    <row r="54" spans="1:4" ht="17.25" customHeight="1" x14ac:dyDescent="0.3">
      <c r="A54" s="3" t="s">
        <v>196</v>
      </c>
      <c r="B54" s="4">
        <v>1985</v>
      </c>
      <c r="C54" s="3" t="s">
        <v>197</v>
      </c>
      <c r="D54" s="3"/>
    </row>
    <row r="55" spans="1:4" ht="17.25" customHeight="1" x14ac:dyDescent="0.3">
      <c r="A55" s="3" t="s">
        <v>198</v>
      </c>
      <c r="B55" s="4">
        <v>865</v>
      </c>
      <c r="C55" s="3" t="s">
        <v>199</v>
      </c>
      <c r="D55" s="3"/>
    </row>
    <row r="56" spans="1:4" ht="17.25" customHeight="1" x14ac:dyDescent="0.3">
      <c r="A56" s="3" t="s">
        <v>200</v>
      </c>
      <c r="B56" s="4">
        <v>75</v>
      </c>
      <c r="C56" s="3" t="s">
        <v>201</v>
      </c>
      <c r="D56" s="3"/>
    </row>
    <row r="57" spans="1:4" ht="17.25" customHeight="1" x14ac:dyDescent="0.3">
      <c r="A57" s="3" t="s">
        <v>202</v>
      </c>
      <c r="B57" s="4">
        <v>575</v>
      </c>
      <c r="C57" s="3" t="s">
        <v>203</v>
      </c>
      <c r="D57" s="3"/>
    </row>
    <row r="58" spans="1:4" ht="17.25" customHeight="1" x14ac:dyDescent="0.3">
      <c r="A58" s="3" t="s">
        <v>204</v>
      </c>
      <c r="B58" s="4">
        <v>403</v>
      </c>
      <c r="C58" s="3" t="s">
        <v>205</v>
      </c>
      <c r="D58" s="3"/>
    </row>
    <row r="59" spans="1:4" ht="17.25" customHeight="1" x14ac:dyDescent="0.3">
      <c r="A59" s="3"/>
      <c r="B59" s="4"/>
      <c r="C59" s="3"/>
      <c r="D59" s="3"/>
    </row>
    <row r="60" spans="1:4" ht="17.25" customHeight="1" x14ac:dyDescent="0.3">
      <c r="A60" s="5" t="s">
        <v>93</v>
      </c>
      <c r="B60" s="6">
        <f>SUM(B5:B58)</f>
        <v>29677</v>
      </c>
      <c r="C60" s="3"/>
      <c r="D60" s="3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Listings</vt:lpstr>
      <vt:lpstr>Non-English Listings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CGS_Computer</dc:creator>
  <cp:keywords/>
  <dc:description/>
  <cp:lastModifiedBy>Muhammad Ahmed</cp:lastModifiedBy>
  <cp:revision/>
  <dcterms:created xsi:type="dcterms:W3CDTF">2026-09-21T19:43:22Z</dcterms:created>
  <dcterms:modified xsi:type="dcterms:W3CDTF">2026-09-21T20:11:03Z</dcterms:modified>
  <cp:category/>
  <cp:contentStatus/>
</cp:coreProperties>
</file>